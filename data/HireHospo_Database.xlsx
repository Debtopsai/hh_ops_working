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5"/>
    <sheet state="visible" name="Machines" sheetId="2" r:id="rId6"/>
  </sheets>
  <definedNames/>
  <calcPr/>
</workbook>
</file>

<file path=xl/sharedStrings.xml><?xml version="1.0" encoding="utf-8"?>
<sst xmlns="http://schemas.openxmlformats.org/spreadsheetml/2006/main" count="400" uniqueCount="274">
  <si>
    <t>ID</t>
  </si>
  <si>
    <t>Name</t>
  </si>
  <si>
    <t>Contact</t>
  </si>
  <si>
    <t>Phone</t>
  </si>
  <si>
    <t>Email</t>
  </si>
  <si>
    <t>Address</t>
  </si>
  <si>
    <t>Status</t>
  </si>
  <si>
    <t>Notes</t>
  </si>
  <si>
    <t>HH001</t>
  </si>
  <si>
    <t>Selwyn Contractors</t>
  </si>
  <si>
    <t>Daniel Seluini</t>
  </si>
  <si>
    <r>
      <rPr>
        <rFont val="Helvetica Neue"/>
        <color rgb="FF1155CC"/>
        <u/>
      </rPr>
      <t>accounts@selwyn.org.nz</t>
    </r>
  </si>
  <si>
    <t>260 Onehunga Mall, Onehunga, Auckland 1061</t>
  </si>
  <si>
    <t>active</t>
  </si>
  <si>
    <t>HH003</t>
  </si>
  <si>
    <t>Curry Leaf</t>
  </si>
  <si>
    <t>Sarabjeet Singh</t>
  </si>
  <si>
    <r>
      <rPr>
        <rFont val="Helvetica Neue"/>
        <color rgb="FF1155CC"/>
        <u/>
      </rPr>
      <t>info@curryleaf.co.nz</t>
    </r>
  </si>
  <si>
    <t>13 Mt Smart Road, Royal Oak, Auckland 1061</t>
  </si>
  <si>
    <t>HH005</t>
  </si>
  <si>
    <t>Gem Seafood</t>
  </si>
  <si>
    <t>Julian Baleli</t>
  </si>
  <si>
    <r>
      <rPr>
        <rFont val="Helvetica Neue"/>
        <color rgb="FF1155CC"/>
        <u/>
      </rPr>
      <t>julianbaleli@gmail.com</t>
    </r>
  </si>
  <si>
    <t>37 Mckean Avenue, Auckland 2102</t>
  </si>
  <si>
    <t>HH007</t>
  </si>
  <si>
    <t>Mama Sila Catering</t>
  </si>
  <si>
    <t>Pisila Foliaki</t>
  </si>
  <si>
    <r>
      <rPr>
        <rFont val="Helvetica Neue"/>
        <color rgb="FF1155CC"/>
        <u/>
      </rPr>
      <t>mamasilacateringservices@gmail.com</t>
    </r>
  </si>
  <si>
    <t>9 Ernest Shackleton Place, Waiuku 2123</t>
  </si>
  <si>
    <t>HH008</t>
  </si>
  <si>
    <t>IPG Hotels (SOHO Auckland)</t>
  </si>
  <si>
    <t>Duncan Mackenzie</t>
  </si>
  <si>
    <r>
      <rPr>
        <rFont val="Helvetica Neue"/>
        <color rgb="FF1155CC"/>
        <u/>
      </rPr>
      <t>gm@sohoauckland.com</t>
    </r>
  </si>
  <si>
    <t>180 Stoddard Road, Mt Roskill, Auckland 1041</t>
  </si>
  <si>
    <t>HH009</t>
  </si>
  <si>
    <t>BlueMoonSkyNZZ</t>
  </si>
  <si>
    <t>Dil Bahadur Barala</t>
  </si>
  <si>
    <r>
      <rPr>
        <rFont val="Helvetica Neue"/>
        <color rgb="FF1155CC"/>
        <u/>
      </rPr>
      <t>admin@maraetaiboatclub.org.nz</t>
    </r>
  </si>
  <si>
    <t>24 Karaka Road, Beachlands, Auckland 2018</t>
  </si>
  <si>
    <t>HH010</t>
  </si>
  <si>
    <t>Books N Bricks</t>
  </si>
  <si>
    <t>Manmohan Singh</t>
  </si>
  <si>
    <r>
      <rPr>
        <rFont val="Helvetica Neue"/>
        <color rgb="FF1155CC"/>
        <u/>
      </rPr>
      <t>booksnbrickscafe@gmail.com</t>
    </r>
  </si>
  <si>
    <t>2/49 Hamon Avenue, Mt Roskill, Auckland 1041</t>
  </si>
  <si>
    <t>HH011</t>
  </si>
  <si>
    <t>Hiraya Collective (Roti Bros)</t>
  </si>
  <si>
    <t>EJ Marchadesch</t>
  </si>
  <si>
    <r>
      <rPr>
        <rFont val="Helvetica Neue"/>
        <color rgb="FF1155CC"/>
        <u/>
      </rPr>
      <t>ej@rotibros.co.nz</t>
    </r>
  </si>
  <si>
    <t>14 Greenpark Road, Penrose, Auckland 1061</t>
  </si>
  <si>
    <t>HH013</t>
  </si>
  <si>
    <t>NZ Hotel Company</t>
  </si>
  <si>
    <t>Murray Davison</t>
  </si>
  <si>
    <t>021 752 404</t>
  </si>
  <si>
    <r>
      <rPr>
        <rFont val="Helvetica Neue"/>
        <color rgb="FF1155CC"/>
        <u/>
      </rPr>
      <t>om@editauckland.com</t>
    </r>
  </si>
  <si>
    <t>87-93 Queen Street, Auckland 1010</t>
  </si>
  <si>
    <t>HH014</t>
  </si>
  <si>
    <t>Onzon de Thai Kitchen</t>
  </si>
  <si>
    <t>Kitsanan Paisankitjaroen</t>
  </si>
  <si>
    <r>
      <rPr>
        <rFont val="Helvetica Neue"/>
        <color rgb="FF1155CC"/>
        <u/>
      </rPr>
      <t>anant168.ltd@gmail.com</t>
    </r>
  </si>
  <si>
    <t>33b Holbrook Street, Blockhouse Bay 0600</t>
  </si>
  <si>
    <t>HH015</t>
  </si>
  <si>
    <t>Hav Better (Khao Hom)</t>
  </si>
  <si>
    <t>Hav Mao</t>
  </si>
  <si>
    <r>
      <rPr>
        <rFont val="Helvetica Neue"/>
        <color rgb="FF1155CC"/>
        <u/>
      </rPr>
      <t>hongxiaochen@hotmail.com</t>
    </r>
  </si>
  <si>
    <t>6 Hermitage Street, Flat Bush, Auckland 2019</t>
  </si>
  <si>
    <t>HH016</t>
  </si>
  <si>
    <t>Kai Rawe</t>
  </si>
  <si>
    <t>Andrew Sellar</t>
  </si>
  <si>
    <r>
      <rPr>
        <rFont val="Helvetica Neue"/>
        <color rgb="FF1155CC"/>
        <u/>
      </rPr>
      <t>peterspies@xtra.co.nz</t>
    </r>
  </si>
  <si>
    <t>7C Angle Street, Onehunga, Auckland 1061</t>
  </si>
  <si>
    <t>HH017</t>
  </si>
  <si>
    <t>Cinnamon Squared</t>
  </si>
  <si>
    <t>Minseok Lee</t>
  </si>
  <si>
    <r>
      <rPr>
        <rFont val="Helvetica Neue"/>
        <color rgb="FF1155CC"/>
        <u/>
      </rPr>
      <t>cinnamonsquared2@gmail.com</t>
    </r>
  </si>
  <si>
    <t>41 Victoria Street West, Auckland 1010</t>
  </si>
  <si>
    <t>ended</t>
  </si>
  <si>
    <t>HH019</t>
  </si>
  <si>
    <t>Koeksisterpot</t>
  </si>
  <si>
    <t>Catherina Dormehl</t>
  </si>
  <si>
    <r>
      <rPr>
        <rFont val="Helvetica Neue"/>
        <color rgb="FF1155CC"/>
        <u/>
      </rPr>
      <t>christad57@gmail.com</t>
    </r>
  </si>
  <si>
    <t>53B West Street, Pukekohe, Auckland 2120</t>
  </si>
  <si>
    <t>HH020</t>
  </si>
  <si>
    <t>Southern Spit BBQ</t>
  </si>
  <si>
    <t>Phillip Corse-Scott</t>
  </si>
  <si>
    <r>
      <rPr>
        <rFont val="Helvetica Neue"/>
        <color rgb="FF1155CC"/>
        <u/>
      </rPr>
      <t>phillmann@gmail.com</t>
    </r>
  </si>
  <si>
    <t>14 Westbrook Avenue, Takanini, Auckland 2105</t>
  </si>
  <si>
    <t>HH021</t>
  </si>
  <si>
    <t>Eat Shop Do</t>
  </si>
  <si>
    <t>Jess Daniell</t>
  </si>
  <si>
    <r>
      <rPr>
        <rFont val="Helvetica Neue"/>
        <color rgb="FF1155CC"/>
        <u/>
      </rPr>
      <t>jess@juk.co.nz</t>
    </r>
  </si>
  <si>
    <t>21 Gordon Rd, Auckland 1025</t>
  </si>
  <si>
    <t>HH022</t>
  </si>
  <si>
    <t>Life Health Foods</t>
  </si>
  <si>
    <t>Charles Rivers</t>
  </si>
  <si>
    <r>
      <rPr>
        <rFont val="Helvetica Neue"/>
        <color rgb="FF1155CC"/>
        <u/>
      </rPr>
      <t>charles.rivers@lhf.net</t>
    </r>
  </si>
  <si>
    <t>395 Rosebank Road, Auckland 1026</t>
  </si>
  <si>
    <t>bought_out</t>
  </si>
  <si>
    <t>HH024</t>
  </si>
  <si>
    <t>Manaia Eatery</t>
  </si>
  <si>
    <r>
      <rPr>
        <rFont val="Helvetica Neue"/>
        <color rgb="FF1155CC"/>
        <u/>
      </rPr>
      <t>julianbaleli@gmail.com</t>
    </r>
  </si>
  <si>
    <t>26 Te Kawa Road, One Tree Hill, Auckland 1061</t>
  </si>
  <si>
    <t>HH025</t>
  </si>
  <si>
    <t>Lahoria Trading</t>
  </si>
  <si>
    <t>Nobita Choudhary</t>
  </si>
  <si>
    <r>
      <rPr>
        <rFont val="Helvetica Neue"/>
        <color rgb="FF1155CC"/>
        <u/>
      </rPr>
      <t>nobitachoudhary@hotmail.com</t>
    </r>
  </si>
  <si>
    <t>368 Great South Road, Papatoetoe, Auckland 2025</t>
  </si>
  <si>
    <t>HH026</t>
  </si>
  <si>
    <t>Kodur's Kitchen</t>
  </si>
  <si>
    <t>Aneesh Kodur</t>
  </si>
  <si>
    <t>09 558 2387</t>
  </si>
  <si>
    <r>
      <rPr>
        <rFont val="Helvetica Neue"/>
        <color rgb="FF1155CC"/>
        <u/>
      </rPr>
      <t>kodurskitchen@gmail.com</t>
    </r>
  </si>
  <si>
    <t>1 Tupaea Place, Ngaruawahia, Waikato 3720</t>
  </si>
  <si>
    <t>HH027</t>
  </si>
  <si>
    <t>Urban Vibe</t>
  </si>
  <si>
    <t>Sriman Dasaroju</t>
  </si>
  <si>
    <r>
      <rPr>
        <rFont val="Helvetica Neue"/>
        <color rgb="FF1155CC"/>
        <u/>
      </rPr>
      <t>urbanvibeparnell@gmail.com</t>
    </r>
  </si>
  <si>
    <t>115 Parnell Road, Parnell, Auckland 1052</t>
  </si>
  <si>
    <t>HH028</t>
  </si>
  <si>
    <t>Rescued</t>
  </si>
  <si>
    <t>Diane Stanbra</t>
  </si>
  <si>
    <r>
      <rPr>
        <rFont val="Helvetica Neue"/>
        <color rgb="FF1155CC"/>
        <u/>
      </rPr>
      <t>diane@rescued.co.nz</t>
    </r>
  </si>
  <si>
    <t>72 Taharoto Road, Takapuna, Auckland 0622</t>
  </si>
  <si>
    <t>month_to_month</t>
  </si>
  <si>
    <t>HH029</t>
  </si>
  <si>
    <t>Homely Flavors</t>
  </si>
  <si>
    <t>Saju M. Mathew</t>
  </si>
  <si>
    <r>
      <rPr>
        <rFont val="Helvetica Neue"/>
        <color rgb="FF1155CC"/>
        <u/>
      </rPr>
      <t>sonyxavier5@gmail.com</t>
    </r>
  </si>
  <si>
    <t>27d Waipareira Avenue, Henderson 0610</t>
  </si>
  <si>
    <t>HH030</t>
  </si>
  <si>
    <t>BlueOceanNZ (Caviar Kitchen)</t>
  </si>
  <si>
    <r>
      <rPr>
        <rFont val="Helvetica Neue"/>
        <color rgb="FF1155CC"/>
        <u/>
      </rPr>
      <t>caviarkitchen.mbbc@gmail.com</t>
    </r>
  </si>
  <si>
    <t>44 Third View Avenue, Auckland 2018</t>
  </si>
  <si>
    <t>HH031</t>
  </si>
  <si>
    <t>Ottos Pretzelria</t>
  </si>
  <si>
    <t>Sean Bone</t>
  </si>
  <si>
    <r>
      <rPr>
        <rFont val="Helvetica Neue"/>
        <color rgb="FF1155CC"/>
        <u/>
      </rPr>
      <t>paradepretzels@gmail.com</t>
    </r>
  </si>
  <si>
    <t>2 Morgan Street, Newmarket, Auckland 1023</t>
  </si>
  <si>
    <t>HH032</t>
  </si>
  <si>
    <t>Essence Cafe</t>
  </si>
  <si>
    <t>Pavan Kumar Reddy Kallu</t>
  </si>
  <si>
    <r>
      <rPr>
        <rFont val="Helvetica Neue"/>
        <color rgb="FF1155CC"/>
        <u/>
      </rPr>
      <t>kallupavan09@gmail.com</t>
    </r>
  </si>
  <si>
    <t>129 Rangiora Avenue, Roslyn, Auckland 4410</t>
  </si>
  <si>
    <t>Palmerston North - outside Auckland</t>
  </si>
  <si>
    <t>HH038</t>
  </si>
  <si>
    <t>Lazy Betty</t>
  </si>
  <si>
    <t>Wendy</t>
  </si>
  <si>
    <r>
      <rPr>
        <rFont val="Helvetica Neue"/>
        <color rgb="FF1155CC"/>
        <u/>
      </rPr>
      <t>accounts@lazybetty.co.nz</t>
    </r>
  </si>
  <si>
    <t>HH042</t>
  </si>
  <si>
    <t>EAT SHOP DO RENTAL - RENTAL | JUNE 2026</t>
  </si>
  <si>
    <t>Auto-added 2/06/2026</t>
  </si>
  <si>
    <t>HH044</t>
  </si>
  <si>
    <t>GOLD RIBBON FOODS LIMITED</t>
  </si>
  <si>
    <t>Ronald Ricafrente</t>
  </si>
  <si>
    <t>ronric76_ricafrente@yahoo.com</t>
  </si>
  <si>
    <t>2 Rosandich Drive, Sunnyvale, Pacific/Auckland 0612</t>
  </si>
  <si>
    <t>Signed 28/04/2026. Legal entity: RR PNOY LIMITED (5140262). GoCardless: AL000V3V24TVJN</t>
  </si>
  <si>
    <t>Description</t>
  </si>
  <si>
    <t>CustID</t>
  </si>
  <si>
    <t>Type</t>
  </si>
  <si>
    <t>Term</t>
  </si>
  <si>
    <t>Weekly</t>
  </si>
  <si>
    <t>Start</t>
  </si>
  <si>
    <t>Deposit</t>
  </si>
  <si>
    <t>APS</t>
  </si>
  <si>
    <t>Supplier</t>
  </si>
  <si>
    <t>M001</t>
  </si>
  <si>
    <t>Starline ALC Dishwasher</t>
  </si>
  <si>
    <t>Lease-to-Own (36m)</t>
  </si>
  <si>
    <t>APS1064</t>
  </si>
  <si>
    <t>M002</t>
  </si>
  <si>
    <t>Rational CMP61 Combi Oven</t>
  </si>
  <si>
    <t>Rent (12m)</t>
  </si>
  <si>
    <t>M003</t>
  </si>
  <si>
    <t>Starline M2 Dishwasher</t>
  </si>
  <si>
    <t>M004</t>
  </si>
  <si>
    <t>FPG INLINE-3000 Display Cabinet</t>
  </si>
  <si>
    <t>M006</t>
  </si>
  <si>
    <t>Rational ICC 20 Tray Gas Combi</t>
  </si>
  <si>
    <t>M007</t>
  </si>
  <si>
    <t>Rational SCC WE101 Combi Oven</t>
  </si>
  <si>
    <t>M008</t>
  </si>
  <si>
    <t>Rational SCCWE101E Combi Oven</t>
  </si>
  <si>
    <t>APS1061</t>
  </si>
  <si>
    <t>M009</t>
  </si>
  <si>
    <t>Rational SCC101 10 Tray Combi</t>
  </si>
  <si>
    <t>APS983</t>
  </si>
  <si>
    <t>M010</t>
  </si>
  <si>
    <t>Turbofan E31D4 Convection Oven</t>
  </si>
  <si>
    <t>M011</t>
  </si>
  <si>
    <t>Delta Planetary Mixer 5L</t>
  </si>
  <si>
    <t>M012</t>
  </si>
  <si>
    <t>Delta JET40WI-C 40L Mixer</t>
  </si>
  <si>
    <t>APS112</t>
  </si>
  <si>
    <t>M013</t>
  </si>
  <si>
    <t>APS1080</t>
  </si>
  <si>
    <t>M014</t>
  </si>
  <si>
    <t>M016</t>
  </si>
  <si>
    <t>Starline M2C Dishwasher</t>
  </si>
  <si>
    <t>M019</t>
  </si>
  <si>
    <t>Turbofan E32D4 Oven</t>
  </si>
  <si>
    <t>M020</t>
  </si>
  <si>
    <t>Starline M1 Dishwasher</t>
  </si>
  <si>
    <t>APS1234</t>
  </si>
  <si>
    <t>M021</t>
  </si>
  <si>
    <t>Waldorf C9D 6 Burner Cooktop</t>
  </si>
  <si>
    <t>APS1342</t>
  </si>
  <si>
    <t>M022</t>
  </si>
  <si>
    <t>Waldorf Gas Fryer</t>
  </si>
  <si>
    <t>APS1406</t>
  </si>
  <si>
    <t>M023</t>
  </si>
  <si>
    <t>Waldorf Gas Deep Fryer</t>
  </si>
  <si>
    <t>M024</t>
  </si>
  <si>
    <t>M025</t>
  </si>
  <si>
    <t>Blue Seal G594-LS 600mm Gas</t>
  </si>
  <si>
    <t>M027</t>
  </si>
  <si>
    <t>Rational SCC 101G Gas Combi</t>
  </si>
  <si>
    <t>APS1355</t>
  </si>
  <si>
    <t>M028</t>
  </si>
  <si>
    <t>Starline AL8 Dishwasher</t>
  </si>
  <si>
    <t>APS646</t>
  </si>
  <si>
    <t>M029</t>
  </si>
  <si>
    <t>Rational CM101E 10 Tray Combi</t>
  </si>
  <si>
    <t>APS862</t>
  </si>
  <si>
    <t>M030</t>
  </si>
  <si>
    <t>Blue Seal GT46 Gas Fryer</t>
  </si>
  <si>
    <t>APS958</t>
  </si>
  <si>
    <t>M031</t>
  </si>
  <si>
    <t>Blue Seal Gas Griddle 900mm</t>
  </si>
  <si>
    <t>APS980</t>
  </si>
  <si>
    <t>M032</t>
  </si>
  <si>
    <t>Garland GF 36-6R Gas Range</t>
  </si>
  <si>
    <t>APS939</t>
  </si>
  <si>
    <t>M033</t>
  </si>
  <si>
    <t>M034</t>
  </si>
  <si>
    <t>Turbofan E33D5 Oven</t>
  </si>
  <si>
    <t>M035</t>
  </si>
  <si>
    <t>Rational SCC WE 201G Combi x2 (consolidated)</t>
  </si>
  <si>
    <t>Month-to-Month</t>
  </si>
  <si>
    <t>APS925</t>
  </si>
  <si>
    <t>M038</t>
  </si>
  <si>
    <t>M039</t>
  </si>
  <si>
    <t>M040</t>
  </si>
  <si>
    <t>Blue Seal GE56C Gas Range</t>
  </si>
  <si>
    <t>M046</t>
  </si>
  <si>
    <t>M047</t>
  </si>
  <si>
    <t>Blue Seal Char Grill G594-LS</t>
  </si>
  <si>
    <t>M048</t>
  </si>
  <si>
    <t>Rational SCC61E 6 Tray Combi</t>
  </si>
  <si>
    <t>M050</t>
  </si>
  <si>
    <t>Turbofan E32SUB Oven + Proofer</t>
  </si>
  <si>
    <t>M051</t>
  </si>
  <si>
    <t>Turbofan E31D4 Oven</t>
  </si>
  <si>
    <t>M052</t>
  </si>
  <si>
    <t>Turbofan E32Max Oven</t>
  </si>
  <si>
    <t>APS1112</t>
  </si>
  <si>
    <t>M053</t>
  </si>
  <si>
    <t>Waldorf 800 Gas Tilting Pan</t>
  </si>
  <si>
    <t>M054</t>
  </si>
  <si>
    <t>Rational CD201 20 Tray Combi</t>
  </si>
  <si>
    <t>M055</t>
  </si>
  <si>
    <t>Alto Shaam Holding Cabinet</t>
  </si>
  <si>
    <t>APS936</t>
  </si>
  <si>
    <t>M056</t>
  </si>
  <si>
    <t>Rational SCCWE101E 10 Tray Combi</t>
  </si>
  <si>
    <t>M057</t>
  </si>
  <si>
    <t>Waldorf 4 Burner Gas Cooktop</t>
  </si>
  <si>
    <t>M058</t>
  </si>
  <si>
    <t>Equipment (unspecified)</t>
  </si>
  <si>
    <t>M059</t>
  </si>
  <si>
    <t>Starline M2 Pass-Through Commercial Dishwasher</t>
  </si>
  <si>
    <t>Lease-to-Own (Standard)</t>
  </si>
  <si>
    <t>M060</t>
  </si>
  <si>
    <t>Rational APS1530 20 Tray Combi Oven</t>
  </si>
  <si>
    <t>APS1530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</si>
</sst>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u/>
      <color rgb="FF0000FF"/>
      <name val="Helvetica Neue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4" numFmtId="0" xfId="0" applyAlignment="1" applyBorder="1" applyFont="1">
      <alignment vertical="top"/>
    </xf>
    <xf borderId="1" fillId="0" fontId="2" numFmtId="0" xfId="0" applyAlignment="1" applyBorder="1" applyFont="1">
      <alignment vertical="top"/>
    </xf>
    <xf borderId="0" fillId="0" fontId="4" numFmtId="0" xfId="0" applyAlignment="1" applyFont="1">
      <alignment readingOrder="0"/>
    </xf>
    <xf borderId="1" fillId="0" fontId="2" numFmtId="164" xfId="0" applyAlignment="1" applyBorder="1" applyFont="1" applyNumberFormat="1">
      <alignment readingOrder="0" vertical="top"/>
    </xf>
    <xf borderId="0" fillId="0" fontId="4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kodurskitchen@gmail.com" TargetMode="External"/><Relationship Id="rId22" Type="http://schemas.openxmlformats.org/officeDocument/2006/relationships/hyperlink" Target="mailto:diane@rescued.co.nz" TargetMode="External"/><Relationship Id="rId21" Type="http://schemas.openxmlformats.org/officeDocument/2006/relationships/hyperlink" Target="mailto:urbanvibeparnell@gmail.com" TargetMode="External"/><Relationship Id="rId24" Type="http://schemas.openxmlformats.org/officeDocument/2006/relationships/hyperlink" Target="mailto:caviarkitchen.mbbc@gmail.com" TargetMode="External"/><Relationship Id="rId23" Type="http://schemas.openxmlformats.org/officeDocument/2006/relationships/hyperlink" Target="mailto:sonyxavier5@gmail.com" TargetMode="External"/><Relationship Id="rId1" Type="http://schemas.openxmlformats.org/officeDocument/2006/relationships/hyperlink" Target="mailto:accounts@selwyn.org.nz" TargetMode="External"/><Relationship Id="rId2" Type="http://schemas.openxmlformats.org/officeDocument/2006/relationships/hyperlink" Target="mailto:info@curryleaf.co.nz" TargetMode="External"/><Relationship Id="rId3" Type="http://schemas.openxmlformats.org/officeDocument/2006/relationships/hyperlink" Target="mailto:julianbaleli@gmail.com" TargetMode="External"/><Relationship Id="rId4" Type="http://schemas.openxmlformats.org/officeDocument/2006/relationships/hyperlink" Target="mailto:mamasilacateringservices@gmail.com" TargetMode="External"/><Relationship Id="rId9" Type="http://schemas.openxmlformats.org/officeDocument/2006/relationships/hyperlink" Target="mailto:om@editauckland.com" TargetMode="External"/><Relationship Id="rId26" Type="http://schemas.openxmlformats.org/officeDocument/2006/relationships/hyperlink" Target="mailto:kallupavan09@gmail.com" TargetMode="External"/><Relationship Id="rId25" Type="http://schemas.openxmlformats.org/officeDocument/2006/relationships/hyperlink" Target="mailto:paradepretzels@gmail.com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mailto:accounts@lazybetty.co.nz" TargetMode="External"/><Relationship Id="rId5" Type="http://schemas.openxmlformats.org/officeDocument/2006/relationships/hyperlink" Target="mailto:gm@sohoauckland.com" TargetMode="External"/><Relationship Id="rId6" Type="http://schemas.openxmlformats.org/officeDocument/2006/relationships/hyperlink" Target="mailto:admin@maraetaiboatclub.org.nz" TargetMode="External"/><Relationship Id="rId7" Type="http://schemas.openxmlformats.org/officeDocument/2006/relationships/hyperlink" Target="mailto:booksnbrickscafe@gmail.com" TargetMode="External"/><Relationship Id="rId8" Type="http://schemas.openxmlformats.org/officeDocument/2006/relationships/hyperlink" Target="mailto:ej@rotibros.co.nz" TargetMode="External"/><Relationship Id="rId11" Type="http://schemas.openxmlformats.org/officeDocument/2006/relationships/hyperlink" Target="mailto:hongxiaochen@hotmail.com" TargetMode="External"/><Relationship Id="rId10" Type="http://schemas.openxmlformats.org/officeDocument/2006/relationships/hyperlink" Target="mailto:anant168.ltd@gmail.com" TargetMode="External"/><Relationship Id="rId13" Type="http://schemas.openxmlformats.org/officeDocument/2006/relationships/hyperlink" Target="mailto:cinnamonsquared2@gmail.com" TargetMode="External"/><Relationship Id="rId12" Type="http://schemas.openxmlformats.org/officeDocument/2006/relationships/hyperlink" Target="mailto:peterspies@xtra.co.nz" TargetMode="External"/><Relationship Id="rId15" Type="http://schemas.openxmlformats.org/officeDocument/2006/relationships/hyperlink" Target="mailto:phillmann@gmail.com" TargetMode="External"/><Relationship Id="rId14" Type="http://schemas.openxmlformats.org/officeDocument/2006/relationships/hyperlink" Target="mailto:christad57@gmail.com" TargetMode="External"/><Relationship Id="rId17" Type="http://schemas.openxmlformats.org/officeDocument/2006/relationships/hyperlink" Target="mailto:charles.rivers@lhf.net" TargetMode="External"/><Relationship Id="rId16" Type="http://schemas.openxmlformats.org/officeDocument/2006/relationships/hyperlink" Target="mailto:jess@juk.co.nz" TargetMode="External"/><Relationship Id="rId19" Type="http://schemas.openxmlformats.org/officeDocument/2006/relationships/hyperlink" Target="mailto:nobitachoudhary@hotmail.com" TargetMode="External"/><Relationship Id="rId18" Type="http://schemas.openxmlformats.org/officeDocument/2006/relationships/hyperlink" Target="mailto:julianbaleli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3" t="s">
        <v>10</v>
      </c>
      <c r="D2" s="3">
        <v>2.10535237E8</v>
      </c>
      <c r="E2" s="4" t="s">
        <v>11</v>
      </c>
      <c r="F2" s="3" t="s">
        <v>12</v>
      </c>
      <c r="G2" s="3" t="s">
        <v>13</v>
      </c>
      <c r="H2" s="5"/>
    </row>
    <row r="3">
      <c r="A3" s="2" t="s">
        <v>14</v>
      </c>
      <c r="B3" s="3" t="s">
        <v>15</v>
      </c>
      <c r="C3" s="3" t="s">
        <v>16</v>
      </c>
      <c r="D3" s="3">
        <v>6.4212474348E10</v>
      </c>
      <c r="E3" s="4" t="s">
        <v>17</v>
      </c>
      <c r="F3" s="3" t="s">
        <v>18</v>
      </c>
      <c r="G3" s="3" t="s">
        <v>13</v>
      </c>
      <c r="H3" s="5"/>
    </row>
    <row r="4">
      <c r="A4" s="2" t="s">
        <v>19</v>
      </c>
      <c r="B4" s="3" t="s">
        <v>20</v>
      </c>
      <c r="C4" s="3" t="s">
        <v>21</v>
      </c>
      <c r="D4" s="3">
        <v>6.4223199221E10</v>
      </c>
      <c r="E4" s="4" t="s">
        <v>22</v>
      </c>
      <c r="F4" s="3" t="s">
        <v>23</v>
      </c>
      <c r="G4" s="3" t="s">
        <v>13</v>
      </c>
      <c r="H4" s="5"/>
    </row>
    <row r="5">
      <c r="A5" s="2" t="s">
        <v>24</v>
      </c>
      <c r="B5" s="3" t="s">
        <v>25</v>
      </c>
      <c r="C5" s="3" t="s">
        <v>26</v>
      </c>
      <c r="D5" s="3">
        <v>6.4276363011E10</v>
      </c>
      <c r="E5" s="4" t="s">
        <v>27</v>
      </c>
      <c r="F5" s="3" t="s">
        <v>28</v>
      </c>
      <c r="G5" s="3" t="s">
        <v>13</v>
      </c>
      <c r="H5" s="5"/>
    </row>
    <row r="6">
      <c r="A6" s="2" t="s">
        <v>29</v>
      </c>
      <c r="B6" s="3" t="s">
        <v>30</v>
      </c>
      <c r="C6" s="3" t="s">
        <v>31</v>
      </c>
      <c r="D6" s="6" t="str">
        <f>+64 27 212 2113</f>
        <v>#ERROR!</v>
      </c>
      <c r="E6" s="4" t="s">
        <v>32</v>
      </c>
      <c r="F6" s="3" t="s">
        <v>33</v>
      </c>
      <c r="G6" s="3" t="s">
        <v>13</v>
      </c>
      <c r="H6" s="5"/>
    </row>
    <row r="7">
      <c r="A7" s="2" t="s">
        <v>34</v>
      </c>
      <c r="B7" s="3" t="s">
        <v>35</v>
      </c>
      <c r="C7" s="3" t="s">
        <v>36</v>
      </c>
      <c r="D7" s="3">
        <v>6.421533903E9</v>
      </c>
      <c r="E7" s="4" t="s">
        <v>37</v>
      </c>
      <c r="F7" s="3" t="s">
        <v>38</v>
      </c>
      <c r="G7" s="3" t="s">
        <v>13</v>
      </c>
      <c r="H7" s="5"/>
    </row>
    <row r="8">
      <c r="A8" s="2" t="s">
        <v>39</v>
      </c>
      <c r="B8" s="3" t="s">
        <v>40</v>
      </c>
      <c r="C8" s="3" t="s">
        <v>41</v>
      </c>
      <c r="D8" s="3">
        <v>6.402108581017E12</v>
      </c>
      <c r="E8" s="4" t="s">
        <v>42</v>
      </c>
      <c r="F8" s="3" t="s">
        <v>43</v>
      </c>
      <c r="G8" s="3" t="s">
        <v>13</v>
      </c>
      <c r="H8" s="5"/>
    </row>
    <row r="9">
      <c r="A9" s="2" t="s">
        <v>44</v>
      </c>
      <c r="B9" s="3" t="s">
        <v>45</v>
      </c>
      <c r="C9" s="3" t="s">
        <v>46</v>
      </c>
      <c r="D9" s="3">
        <v>6.4211469799E10</v>
      </c>
      <c r="E9" s="4" t="s">
        <v>47</v>
      </c>
      <c r="F9" s="3" t="s">
        <v>48</v>
      </c>
      <c r="G9" s="3" t="s">
        <v>13</v>
      </c>
      <c r="H9" s="5"/>
    </row>
    <row r="10">
      <c r="A10" s="2" t="s">
        <v>49</v>
      </c>
      <c r="B10" s="3" t="s">
        <v>50</v>
      </c>
      <c r="C10" s="3" t="s">
        <v>51</v>
      </c>
      <c r="D10" s="3" t="s">
        <v>52</v>
      </c>
      <c r="E10" s="4" t="s">
        <v>53</v>
      </c>
      <c r="F10" s="3" t="s">
        <v>54</v>
      </c>
      <c r="G10" s="3" t="s">
        <v>13</v>
      </c>
      <c r="H10" s="5"/>
    </row>
    <row r="11">
      <c r="A11" s="2" t="s">
        <v>55</v>
      </c>
      <c r="B11" s="3" t="s">
        <v>56</v>
      </c>
      <c r="C11" s="3" t="s">
        <v>57</v>
      </c>
      <c r="D11" s="6" t="str">
        <f>+64 2102483439</f>
        <v>#ERROR!</v>
      </c>
      <c r="E11" s="4" t="s">
        <v>58</v>
      </c>
      <c r="F11" s="3" t="s">
        <v>59</v>
      </c>
      <c r="G11" s="3" t="s">
        <v>13</v>
      </c>
      <c r="H11" s="5"/>
    </row>
    <row r="12">
      <c r="A12" s="2" t="s">
        <v>60</v>
      </c>
      <c r="B12" s="3" t="s">
        <v>61</v>
      </c>
      <c r="C12" s="3" t="s">
        <v>62</v>
      </c>
      <c r="D12" s="6" t="str">
        <f>+649 834 9998</f>
        <v>#ERROR!</v>
      </c>
      <c r="E12" s="4" t="s">
        <v>63</v>
      </c>
      <c r="F12" s="3" t="s">
        <v>64</v>
      </c>
      <c r="G12" s="3" t="s">
        <v>13</v>
      </c>
      <c r="H12" s="5"/>
    </row>
    <row r="13">
      <c r="A13" s="2" t="s">
        <v>65</v>
      </c>
      <c r="B13" s="3" t="s">
        <v>66</v>
      </c>
      <c r="C13" s="3" t="s">
        <v>67</v>
      </c>
      <c r="D13" s="6" t="str">
        <f>+64 210 8889865</f>
        <v>#ERROR!</v>
      </c>
      <c r="E13" s="4" t="s">
        <v>68</v>
      </c>
      <c r="F13" s="3" t="s">
        <v>69</v>
      </c>
      <c r="G13" s="3" t="s">
        <v>13</v>
      </c>
      <c r="H13" s="5"/>
    </row>
    <row r="14">
      <c r="A14" s="2" t="s">
        <v>70</v>
      </c>
      <c r="B14" s="3" t="s">
        <v>71</v>
      </c>
      <c r="C14" s="3" t="s">
        <v>72</v>
      </c>
      <c r="D14" s="3">
        <v>6.4211623144E10</v>
      </c>
      <c r="E14" s="4" t="s">
        <v>73</v>
      </c>
      <c r="F14" s="3" t="s">
        <v>74</v>
      </c>
      <c r="G14" s="3" t="s">
        <v>75</v>
      </c>
      <c r="H14" s="5"/>
    </row>
    <row r="15">
      <c r="A15" s="2" t="s">
        <v>76</v>
      </c>
      <c r="B15" s="3" t="s">
        <v>77</v>
      </c>
      <c r="C15" s="3" t="s">
        <v>78</v>
      </c>
      <c r="D15" s="3">
        <v>6.427284647E10</v>
      </c>
      <c r="E15" s="4" t="s">
        <v>79</v>
      </c>
      <c r="F15" s="3" t="s">
        <v>80</v>
      </c>
      <c r="G15" s="3" t="s">
        <v>13</v>
      </c>
      <c r="H15" s="5"/>
    </row>
    <row r="16">
      <c r="A16" s="2" t="s">
        <v>81</v>
      </c>
      <c r="B16" s="3" t="s">
        <v>82</v>
      </c>
      <c r="C16" s="3" t="s">
        <v>83</v>
      </c>
      <c r="D16" s="6" t="str">
        <f>+64 27 412 2958</f>
        <v>#ERROR!</v>
      </c>
      <c r="E16" s="4" t="s">
        <v>84</v>
      </c>
      <c r="F16" s="3" t="s">
        <v>85</v>
      </c>
      <c r="G16" s="3" t="s">
        <v>13</v>
      </c>
      <c r="H16" s="5"/>
    </row>
    <row r="17">
      <c r="A17" s="2" t="s">
        <v>86</v>
      </c>
      <c r="B17" s="3" t="s">
        <v>87</v>
      </c>
      <c r="C17" s="3" t="s">
        <v>88</v>
      </c>
      <c r="D17" s="3">
        <v>6.4027937065E11</v>
      </c>
      <c r="E17" s="4" t="s">
        <v>89</v>
      </c>
      <c r="F17" s="3" t="s">
        <v>90</v>
      </c>
      <c r="G17" s="3" t="s">
        <v>13</v>
      </c>
      <c r="H17" s="5"/>
    </row>
    <row r="18">
      <c r="A18" s="2" t="s">
        <v>91</v>
      </c>
      <c r="B18" s="3" t="s">
        <v>92</v>
      </c>
      <c r="C18" s="3" t="s">
        <v>93</v>
      </c>
      <c r="D18" s="6" t="str">
        <f>+64 21 988 959</f>
        <v>#ERROR!</v>
      </c>
      <c r="E18" s="4" t="s">
        <v>94</v>
      </c>
      <c r="F18" s="3" t="s">
        <v>95</v>
      </c>
      <c r="G18" s="3" t="s">
        <v>96</v>
      </c>
      <c r="H18" s="5"/>
    </row>
    <row r="19">
      <c r="A19" s="2" t="s">
        <v>97</v>
      </c>
      <c r="B19" s="3" t="s">
        <v>98</v>
      </c>
      <c r="C19" s="3" t="s">
        <v>21</v>
      </c>
      <c r="D19" s="3">
        <v>6.4223199221E10</v>
      </c>
      <c r="E19" s="4" t="s">
        <v>99</v>
      </c>
      <c r="F19" s="3" t="s">
        <v>100</v>
      </c>
      <c r="G19" s="3" t="s">
        <v>13</v>
      </c>
      <c r="H19" s="5"/>
    </row>
    <row r="20">
      <c r="A20" s="2" t="s">
        <v>101</v>
      </c>
      <c r="B20" s="3" t="s">
        <v>102</v>
      </c>
      <c r="C20" s="3" t="s">
        <v>103</v>
      </c>
      <c r="D20" s="3">
        <v>6.42702743307E11</v>
      </c>
      <c r="E20" s="4" t="s">
        <v>104</v>
      </c>
      <c r="F20" s="3" t="s">
        <v>105</v>
      </c>
      <c r="G20" s="3" t="s">
        <v>13</v>
      </c>
      <c r="H20" s="5"/>
    </row>
    <row r="21">
      <c r="A21" s="2" t="s">
        <v>106</v>
      </c>
      <c r="B21" s="3" t="s">
        <v>107</v>
      </c>
      <c r="C21" s="3" t="s">
        <v>108</v>
      </c>
      <c r="D21" s="3" t="s">
        <v>109</v>
      </c>
      <c r="E21" s="4" t="s">
        <v>110</v>
      </c>
      <c r="F21" s="3" t="s">
        <v>111</v>
      </c>
      <c r="G21" s="3" t="s">
        <v>13</v>
      </c>
      <c r="H21" s="5"/>
    </row>
    <row r="22">
      <c r="A22" s="2" t="s">
        <v>112</v>
      </c>
      <c r="B22" s="3" t="s">
        <v>113</v>
      </c>
      <c r="C22" s="3" t="s">
        <v>114</v>
      </c>
      <c r="D22" s="6" t="str">
        <f>+64 210476275</f>
        <v>#ERROR!</v>
      </c>
      <c r="E22" s="4" t="s">
        <v>115</v>
      </c>
      <c r="F22" s="3" t="s">
        <v>116</v>
      </c>
      <c r="G22" s="3" t="s">
        <v>13</v>
      </c>
      <c r="H22" s="5"/>
    </row>
    <row r="23">
      <c r="A23" s="2" t="s">
        <v>117</v>
      </c>
      <c r="B23" s="3" t="s">
        <v>118</v>
      </c>
      <c r="C23" s="3" t="s">
        <v>119</v>
      </c>
      <c r="D23" s="6" t="str">
        <f>+64 21 747 885</f>
        <v>#ERROR!</v>
      </c>
      <c r="E23" s="4" t="s">
        <v>120</v>
      </c>
      <c r="F23" s="3" t="s">
        <v>121</v>
      </c>
      <c r="G23" s="3" t="s">
        <v>122</v>
      </c>
      <c r="H23" s="5"/>
    </row>
    <row r="24">
      <c r="A24" s="2" t="s">
        <v>123</v>
      </c>
      <c r="B24" s="3" t="s">
        <v>124</v>
      </c>
      <c r="C24" s="3" t="s">
        <v>125</v>
      </c>
      <c r="D24" s="3">
        <v>6.421983367E9</v>
      </c>
      <c r="E24" s="4" t="s">
        <v>126</v>
      </c>
      <c r="F24" s="3" t="s">
        <v>127</v>
      </c>
      <c r="G24" s="3" t="s">
        <v>13</v>
      </c>
      <c r="H24" s="5"/>
    </row>
    <row r="25">
      <c r="A25" s="2" t="s">
        <v>128</v>
      </c>
      <c r="B25" s="3" t="s">
        <v>129</v>
      </c>
      <c r="C25" s="3" t="s">
        <v>36</v>
      </c>
      <c r="D25" s="3">
        <v>6.421737085E9</v>
      </c>
      <c r="E25" s="4" t="s">
        <v>130</v>
      </c>
      <c r="F25" s="3" t="s">
        <v>131</v>
      </c>
      <c r="G25" s="3" t="s">
        <v>13</v>
      </c>
      <c r="H25" s="5"/>
    </row>
    <row r="26">
      <c r="A26" s="2" t="s">
        <v>132</v>
      </c>
      <c r="B26" s="3" t="s">
        <v>133</v>
      </c>
      <c r="C26" s="3" t="s">
        <v>134</v>
      </c>
      <c r="D26" s="6" t="str">
        <f>+64 021 294 0967</f>
        <v>#ERROR!</v>
      </c>
      <c r="E26" s="4" t="s">
        <v>135</v>
      </c>
      <c r="F26" s="3" t="s">
        <v>136</v>
      </c>
      <c r="G26" s="3" t="s">
        <v>13</v>
      </c>
      <c r="H26" s="5"/>
    </row>
    <row r="27">
      <c r="A27" s="2" t="s">
        <v>137</v>
      </c>
      <c r="B27" s="3" t="s">
        <v>138</v>
      </c>
      <c r="C27" s="3" t="s">
        <v>139</v>
      </c>
      <c r="D27" s="3">
        <v>6.4225968136E10</v>
      </c>
      <c r="E27" s="4" t="s">
        <v>140</v>
      </c>
      <c r="F27" s="3" t="s">
        <v>141</v>
      </c>
      <c r="G27" s="3" t="s">
        <v>13</v>
      </c>
      <c r="H27" s="3" t="s">
        <v>142</v>
      </c>
    </row>
    <row r="28">
      <c r="A28" s="2" t="s">
        <v>143</v>
      </c>
      <c r="B28" s="3" t="s">
        <v>144</v>
      </c>
      <c r="C28" s="3" t="s">
        <v>145</v>
      </c>
      <c r="D28" s="5"/>
      <c r="E28" s="4" t="s">
        <v>146</v>
      </c>
      <c r="F28" s="5"/>
      <c r="G28" s="3" t="s">
        <v>13</v>
      </c>
      <c r="H28" s="5"/>
    </row>
    <row r="29">
      <c r="A29" s="7" t="s">
        <v>147</v>
      </c>
      <c r="B29" s="7" t="s">
        <v>148</v>
      </c>
      <c r="G29" s="7" t="s">
        <v>13</v>
      </c>
      <c r="H29" s="7" t="s">
        <v>149</v>
      </c>
    </row>
    <row r="30">
      <c r="A30" s="7" t="s">
        <v>150</v>
      </c>
      <c r="B30" s="7" t="s">
        <v>151</v>
      </c>
      <c r="C30" s="7" t="s">
        <v>152</v>
      </c>
      <c r="E30" s="7" t="s">
        <v>153</v>
      </c>
      <c r="F30" s="7" t="s">
        <v>154</v>
      </c>
      <c r="G30" s="7" t="s">
        <v>13</v>
      </c>
      <c r="H30" s="7" t="s">
        <v>155</v>
      </c>
      <c r="I30" s="7">
        <v>9.429041192511E12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</hyperlinks>
  <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88"/>
    <col customWidth="1" min="3" max="3" width="6.38"/>
    <col customWidth="1" min="4" max="4" width="19.75"/>
  </cols>
  <sheetData>
    <row r="1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7</v>
      </c>
    </row>
    <row r="2">
      <c r="A2" s="2" t="s">
        <v>165</v>
      </c>
      <c r="B2" s="3" t="s">
        <v>166</v>
      </c>
      <c r="C2" s="3" t="s">
        <v>106</v>
      </c>
      <c r="D2" s="3" t="s">
        <v>167</v>
      </c>
      <c r="E2" s="3">
        <v>36.0</v>
      </c>
      <c r="F2" s="3">
        <v>94.56</v>
      </c>
      <c r="G2" s="8">
        <v>45429.0</v>
      </c>
      <c r="H2" s="3">
        <v>378.24</v>
      </c>
      <c r="I2" s="3" t="s">
        <v>168</v>
      </c>
      <c r="J2" s="5"/>
      <c r="K2" s="5"/>
    </row>
    <row r="3">
      <c r="A3" s="2" t="s">
        <v>169</v>
      </c>
      <c r="B3" s="3" t="s">
        <v>170</v>
      </c>
      <c r="C3" s="3" t="s">
        <v>34</v>
      </c>
      <c r="D3" s="3" t="s">
        <v>171</v>
      </c>
      <c r="E3" s="3">
        <v>12.0</v>
      </c>
      <c r="F3" s="3">
        <v>134.53</v>
      </c>
      <c r="G3" s="8">
        <v>45791.0</v>
      </c>
      <c r="H3" s="5"/>
      <c r="I3" s="5"/>
      <c r="J3" s="5"/>
      <c r="K3" s="5"/>
    </row>
    <row r="4">
      <c r="A4" s="2" t="s">
        <v>172</v>
      </c>
      <c r="B4" s="3" t="s">
        <v>173</v>
      </c>
      <c r="C4" s="3" t="s">
        <v>34</v>
      </c>
      <c r="D4" s="3" t="s">
        <v>171</v>
      </c>
      <c r="E4" s="3">
        <v>12.0</v>
      </c>
      <c r="F4" s="3">
        <v>70.59</v>
      </c>
      <c r="G4" s="8">
        <v>45791.0</v>
      </c>
      <c r="H4" s="5"/>
      <c r="I4" s="5"/>
      <c r="J4" s="5"/>
      <c r="K4" s="5"/>
    </row>
    <row r="5">
      <c r="A5" s="2" t="s">
        <v>174</v>
      </c>
      <c r="B5" s="3" t="s">
        <v>175</v>
      </c>
      <c r="C5" s="3" t="s">
        <v>34</v>
      </c>
      <c r="D5" s="3" t="s">
        <v>171</v>
      </c>
      <c r="E5" s="3">
        <v>12.0</v>
      </c>
      <c r="F5" s="3">
        <v>58.81</v>
      </c>
      <c r="G5" s="8">
        <v>45791.0</v>
      </c>
      <c r="H5" s="5"/>
      <c r="I5" s="5"/>
      <c r="J5" s="5"/>
      <c r="K5" s="5"/>
    </row>
    <row r="6">
      <c r="A6" s="2" t="s">
        <v>176</v>
      </c>
      <c r="B6" s="3" t="s">
        <v>177</v>
      </c>
      <c r="C6" s="3" t="s">
        <v>86</v>
      </c>
      <c r="D6" s="3" t="s">
        <v>171</v>
      </c>
      <c r="E6" s="3">
        <v>12.0</v>
      </c>
      <c r="F6" s="3">
        <v>365.0</v>
      </c>
      <c r="G6" s="8">
        <v>45887.0</v>
      </c>
      <c r="H6" s="3">
        <v>484.35</v>
      </c>
      <c r="I6" s="5"/>
      <c r="J6" s="5"/>
      <c r="K6" s="5"/>
    </row>
    <row r="7">
      <c r="A7" s="2" t="s">
        <v>178</v>
      </c>
      <c r="B7" s="3" t="s">
        <v>179</v>
      </c>
      <c r="C7" s="3" t="s">
        <v>97</v>
      </c>
      <c r="D7" s="3" t="s">
        <v>167</v>
      </c>
      <c r="E7" s="3">
        <v>36.0</v>
      </c>
      <c r="F7" s="3">
        <v>160.0</v>
      </c>
      <c r="G7" s="8">
        <v>45958.0</v>
      </c>
      <c r="H7" s="5"/>
      <c r="I7" s="5"/>
      <c r="J7" s="5"/>
      <c r="K7" s="5"/>
    </row>
    <row r="8">
      <c r="A8" s="2" t="s">
        <v>180</v>
      </c>
      <c r="B8" s="3" t="s">
        <v>181</v>
      </c>
      <c r="C8" s="3" t="s">
        <v>128</v>
      </c>
      <c r="D8" s="3" t="s">
        <v>171</v>
      </c>
      <c r="E8" s="3">
        <v>12.0</v>
      </c>
      <c r="F8" s="3">
        <v>269.15</v>
      </c>
      <c r="G8" s="8">
        <v>45547.0</v>
      </c>
      <c r="H8" s="3">
        <v>807.45</v>
      </c>
      <c r="I8" s="3" t="s">
        <v>182</v>
      </c>
      <c r="J8" s="5"/>
      <c r="K8" s="5"/>
    </row>
    <row r="9">
      <c r="A9" s="2" t="s">
        <v>183</v>
      </c>
      <c r="B9" s="3" t="s">
        <v>184</v>
      </c>
      <c r="C9" s="3" t="s">
        <v>128</v>
      </c>
      <c r="D9" s="3" t="s">
        <v>171</v>
      </c>
      <c r="E9" s="3">
        <v>12.0</v>
      </c>
      <c r="F9" s="3">
        <v>245.0</v>
      </c>
      <c r="G9" s="8">
        <v>45796.0</v>
      </c>
      <c r="H9" s="3">
        <v>807.45</v>
      </c>
      <c r="I9" s="3" t="s">
        <v>185</v>
      </c>
      <c r="J9" s="5"/>
      <c r="K9" s="5"/>
    </row>
    <row r="10">
      <c r="A10" s="2" t="s">
        <v>186</v>
      </c>
      <c r="B10" s="3" t="s">
        <v>187</v>
      </c>
      <c r="C10" s="3" t="s">
        <v>39</v>
      </c>
      <c r="D10" s="3" t="s">
        <v>167</v>
      </c>
      <c r="E10" s="3">
        <v>36.0</v>
      </c>
      <c r="F10" s="3">
        <v>41.3</v>
      </c>
      <c r="G10" s="8">
        <v>45538.0</v>
      </c>
      <c r="H10" s="3">
        <v>165.2</v>
      </c>
      <c r="I10" s="5"/>
      <c r="J10" s="5"/>
      <c r="K10" s="5"/>
    </row>
    <row r="11">
      <c r="A11" s="2" t="s">
        <v>188</v>
      </c>
      <c r="B11" s="3" t="s">
        <v>189</v>
      </c>
      <c r="C11" s="3" t="s">
        <v>39</v>
      </c>
      <c r="D11" s="3" t="s">
        <v>167</v>
      </c>
      <c r="E11" s="3">
        <v>36.0</v>
      </c>
      <c r="F11" s="3">
        <v>18.0</v>
      </c>
      <c r="G11" s="8">
        <v>45538.0</v>
      </c>
      <c r="H11" s="3">
        <v>165.2</v>
      </c>
      <c r="I11" s="5"/>
      <c r="J11" s="5"/>
      <c r="K11" s="5"/>
    </row>
    <row r="12">
      <c r="A12" s="2" t="s">
        <v>190</v>
      </c>
      <c r="B12" s="3" t="s">
        <v>191</v>
      </c>
      <c r="C12" s="3" t="s">
        <v>70</v>
      </c>
      <c r="D12" s="3" t="s">
        <v>171</v>
      </c>
      <c r="E12" s="3">
        <v>12.0</v>
      </c>
      <c r="F12" s="3">
        <v>33.57</v>
      </c>
      <c r="G12" s="8">
        <v>45650.0</v>
      </c>
      <c r="H12" s="3">
        <v>134.28</v>
      </c>
      <c r="I12" s="3" t="s">
        <v>192</v>
      </c>
      <c r="J12" s="5"/>
      <c r="K12" s="5"/>
    </row>
    <row r="13">
      <c r="A13" s="2" t="s">
        <v>193</v>
      </c>
      <c r="B13" s="3" t="s">
        <v>173</v>
      </c>
      <c r="C13" s="3" t="s">
        <v>14</v>
      </c>
      <c r="D13" s="3" t="s">
        <v>167</v>
      </c>
      <c r="E13" s="3">
        <v>36.0</v>
      </c>
      <c r="F13" s="3">
        <v>55.0</v>
      </c>
      <c r="G13" s="8">
        <v>45481.0</v>
      </c>
      <c r="H13" s="3">
        <v>110.0</v>
      </c>
      <c r="I13" s="3" t="s">
        <v>194</v>
      </c>
      <c r="J13" s="5"/>
      <c r="K13" s="5"/>
    </row>
    <row r="14">
      <c r="A14" s="2" t="s">
        <v>195</v>
      </c>
      <c r="B14" s="3" t="s">
        <v>173</v>
      </c>
      <c r="C14" s="3" t="s">
        <v>60</v>
      </c>
      <c r="D14" s="3" t="s">
        <v>167</v>
      </c>
      <c r="E14" s="3">
        <v>36.0</v>
      </c>
      <c r="F14" s="3">
        <v>50.0</v>
      </c>
      <c r="G14" s="8">
        <v>45889.0</v>
      </c>
      <c r="H14" s="3">
        <v>300.0</v>
      </c>
      <c r="I14" s="5"/>
      <c r="J14" s="5"/>
      <c r="K14" s="5"/>
    </row>
    <row r="15">
      <c r="A15" s="2" t="s">
        <v>196</v>
      </c>
      <c r="B15" s="3" t="s">
        <v>197</v>
      </c>
      <c r="C15" s="3" t="s">
        <v>65</v>
      </c>
      <c r="D15" s="3" t="s">
        <v>167</v>
      </c>
      <c r="E15" s="3">
        <v>36.0</v>
      </c>
      <c r="F15" s="3">
        <v>65.0</v>
      </c>
      <c r="G15" s="8">
        <v>45717.0</v>
      </c>
      <c r="H15" s="5"/>
      <c r="I15" s="5"/>
      <c r="J15" s="5"/>
      <c r="K15" s="5"/>
    </row>
    <row r="16">
      <c r="A16" s="2" t="s">
        <v>198</v>
      </c>
      <c r="B16" s="3" t="s">
        <v>199</v>
      </c>
      <c r="C16" s="3" t="s">
        <v>101</v>
      </c>
      <c r="D16" s="3" t="s">
        <v>167</v>
      </c>
      <c r="E16" s="3">
        <v>36.0</v>
      </c>
      <c r="F16" s="3">
        <v>65.0</v>
      </c>
      <c r="G16" s="8">
        <v>45824.0</v>
      </c>
      <c r="H16" s="3">
        <v>490.0</v>
      </c>
      <c r="I16" s="5"/>
      <c r="J16" s="5"/>
      <c r="K16" s="5"/>
    </row>
    <row r="17">
      <c r="A17" s="2" t="s">
        <v>200</v>
      </c>
      <c r="B17" s="3" t="s">
        <v>201</v>
      </c>
      <c r="C17" s="3" t="s">
        <v>55</v>
      </c>
      <c r="D17" s="3" t="s">
        <v>167</v>
      </c>
      <c r="E17" s="3">
        <v>36.0</v>
      </c>
      <c r="F17" s="3">
        <v>45.4</v>
      </c>
      <c r="G17" s="8">
        <v>46076.0</v>
      </c>
      <c r="H17" s="3">
        <v>623.5</v>
      </c>
      <c r="I17" s="3" t="s">
        <v>202</v>
      </c>
      <c r="J17" s="5"/>
      <c r="K17" s="5"/>
    </row>
    <row r="18">
      <c r="A18" s="2" t="s">
        <v>203</v>
      </c>
      <c r="B18" s="3" t="s">
        <v>204</v>
      </c>
      <c r="C18" s="3" t="s">
        <v>55</v>
      </c>
      <c r="D18" s="3" t="s">
        <v>167</v>
      </c>
      <c r="E18" s="3">
        <v>36.0</v>
      </c>
      <c r="F18" s="3">
        <v>38.9</v>
      </c>
      <c r="G18" s="8">
        <v>46076.0</v>
      </c>
      <c r="H18" s="3">
        <v>623.5</v>
      </c>
      <c r="I18" s="3" t="s">
        <v>205</v>
      </c>
      <c r="J18" s="5"/>
      <c r="K18" s="5"/>
    </row>
    <row r="19">
      <c r="A19" s="2" t="s">
        <v>206</v>
      </c>
      <c r="B19" s="3" t="s">
        <v>207</v>
      </c>
      <c r="C19" s="3" t="s">
        <v>55</v>
      </c>
      <c r="D19" s="3" t="s">
        <v>167</v>
      </c>
      <c r="E19" s="3">
        <v>36.0</v>
      </c>
      <c r="F19" s="3">
        <v>30.46</v>
      </c>
      <c r="G19" s="8">
        <v>46076.0</v>
      </c>
      <c r="H19" s="3">
        <v>623.5</v>
      </c>
      <c r="I19" s="3" t="s">
        <v>208</v>
      </c>
      <c r="J19" s="5"/>
      <c r="K19" s="5"/>
    </row>
    <row r="20">
      <c r="A20" s="2" t="s">
        <v>209</v>
      </c>
      <c r="B20" s="3" t="s">
        <v>210</v>
      </c>
      <c r="C20" s="3" t="s">
        <v>19</v>
      </c>
      <c r="D20" s="3" t="s">
        <v>167</v>
      </c>
      <c r="E20" s="3">
        <v>36.0</v>
      </c>
      <c r="F20" s="3">
        <v>45.0</v>
      </c>
      <c r="G20" s="8">
        <v>45845.0</v>
      </c>
      <c r="H20" s="5"/>
      <c r="I20" s="5"/>
      <c r="J20" s="5"/>
      <c r="K20" s="5"/>
    </row>
    <row r="21">
      <c r="A21" s="2" t="s">
        <v>211</v>
      </c>
      <c r="B21" s="3" t="s">
        <v>179</v>
      </c>
      <c r="C21" s="3" t="s">
        <v>19</v>
      </c>
      <c r="D21" s="3" t="s">
        <v>167</v>
      </c>
      <c r="E21" s="3">
        <v>36.0</v>
      </c>
      <c r="F21" s="3">
        <v>160.0</v>
      </c>
      <c r="G21" s="8">
        <v>45860.0</v>
      </c>
      <c r="H21" s="5"/>
      <c r="I21" s="5"/>
      <c r="J21" s="5"/>
      <c r="K21" s="5"/>
    </row>
    <row r="22">
      <c r="A22" s="2" t="s">
        <v>212</v>
      </c>
      <c r="B22" s="3" t="s">
        <v>213</v>
      </c>
      <c r="C22" s="3" t="s">
        <v>19</v>
      </c>
      <c r="D22" s="3" t="s">
        <v>167</v>
      </c>
      <c r="E22" s="3">
        <v>36.0</v>
      </c>
      <c r="F22" s="3">
        <v>50.0</v>
      </c>
      <c r="G22" s="8">
        <v>45860.0</v>
      </c>
      <c r="H22" s="5"/>
      <c r="I22" s="5"/>
      <c r="J22" s="5"/>
      <c r="K22" s="5"/>
    </row>
    <row r="23">
      <c r="A23" s="2" t="s">
        <v>214</v>
      </c>
      <c r="B23" s="3" t="s">
        <v>215</v>
      </c>
      <c r="C23" s="3" t="s">
        <v>81</v>
      </c>
      <c r="D23" s="3" t="s">
        <v>167</v>
      </c>
      <c r="E23" s="3">
        <v>36.0</v>
      </c>
      <c r="F23" s="3">
        <v>189.17</v>
      </c>
      <c r="G23" s="8">
        <v>46007.0</v>
      </c>
      <c r="H23" s="3">
        <v>945.85</v>
      </c>
      <c r="I23" s="3" t="s">
        <v>216</v>
      </c>
      <c r="J23" s="5"/>
      <c r="K23" s="5"/>
    </row>
    <row r="24">
      <c r="A24" s="2" t="s">
        <v>217</v>
      </c>
      <c r="B24" s="3" t="s">
        <v>218</v>
      </c>
      <c r="C24" s="3" t="s">
        <v>91</v>
      </c>
      <c r="D24" s="3" t="s">
        <v>171</v>
      </c>
      <c r="E24" s="3">
        <v>12.0</v>
      </c>
      <c r="F24" s="3">
        <v>163.14</v>
      </c>
      <c r="G24" s="8">
        <v>45551.0</v>
      </c>
      <c r="H24" s="3">
        <v>504.42</v>
      </c>
      <c r="I24" s="3" t="s">
        <v>219</v>
      </c>
      <c r="J24" s="5"/>
      <c r="K24" s="5"/>
    </row>
    <row r="25">
      <c r="A25" s="2" t="s">
        <v>220</v>
      </c>
      <c r="B25" s="3" t="s">
        <v>221</v>
      </c>
      <c r="C25" s="3" t="s">
        <v>24</v>
      </c>
      <c r="D25" s="3" t="s">
        <v>167</v>
      </c>
      <c r="E25" s="3">
        <v>36.0</v>
      </c>
      <c r="F25" s="3">
        <v>136.35</v>
      </c>
      <c r="G25" s="8">
        <v>45350.0</v>
      </c>
      <c r="H25" s="3">
        <v>1054.0</v>
      </c>
      <c r="I25" s="3" t="s">
        <v>222</v>
      </c>
      <c r="J25" s="5"/>
      <c r="K25" s="5"/>
    </row>
    <row r="26">
      <c r="A26" s="2" t="s">
        <v>223</v>
      </c>
      <c r="B26" s="3" t="s">
        <v>224</v>
      </c>
      <c r="C26" s="3" t="s">
        <v>24</v>
      </c>
      <c r="D26" s="3" t="s">
        <v>167</v>
      </c>
      <c r="E26" s="3">
        <v>36.0</v>
      </c>
      <c r="F26" s="3">
        <v>35.6</v>
      </c>
      <c r="G26" s="8">
        <v>45350.0</v>
      </c>
      <c r="H26" s="3">
        <v>1054.0</v>
      </c>
      <c r="I26" s="3" t="s">
        <v>225</v>
      </c>
      <c r="J26" s="5"/>
      <c r="K26" s="5"/>
    </row>
    <row r="27">
      <c r="A27" s="2" t="s">
        <v>226</v>
      </c>
      <c r="B27" s="3" t="s">
        <v>227</v>
      </c>
      <c r="C27" s="3" t="s">
        <v>24</v>
      </c>
      <c r="D27" s="3" t="s">
        <v>167</v>
      </c>
      <c r="E27" s="3">
        <v>36.0</v>
      </c>
      <c r="F27" s="3">
        <v>44.45</v>
      </c>
      <c r="G27" s="8">
        <v>45350.0</v>
      </c>
      <c r="H27" s="3">
        <v>1054.0</v>
      </c>
      <c r="I27" s="3" t="s">
        <v>228</v>
      </c>
      <c r="J27" s="5"/>
      <c r="K27" s="5"/>
    </row>
    <row r="28">
      <c r="A28" s="2" t="s">
        <v>229</v>
      </c>
      <c r="B28" s="3" t="s">
        <v>230</v>
      </c>
      <c r="C28" s="3" t="s">
        <v>24</v>
      </c>
      <c r="D28" s="3" t="s">
        <v>167</v>
      </c>
      <c r="E28" s="3">
        <v>36.0</v>
      </c>
      <c r="F28" s="3">
        <v>47.1</v>
      </c>
      <c r="G28" s="8">
        <v>45350.0</v>
      </c>
      <c r="H28" s="3">
        <v>1054.0</v>
      </c>
      <c r="I28" s="3" t="s">
        <v>231</v>
      </c>
      <c r="J28" s="5"/>
      <c r="K28" s="5"/>
    </row>
    <row r="29">
      <c r="A29" s="2" t="s">
        <v>232</v>
      </c>
      <c r="B29" s="3" t="s">
        <v>218</v>
      </c>
      <c r="C29" s="3" t="s">
        <v>24</v>
      </c>
      <c r="D29" s="3" t="s">
        <v>167</v>
      </c>
      <c r="E29" s="3">
        <v>36.0</v>
      </c>
      <c r="F29" s="3">
        <v>84.35</v>
      </c>
      <c r="G29" s="8">
        <v>45350.0</v>
      </c>
      <c r="H29" s="3">
        <v>1054.0</v>
      </c>
      <c r="I29" s="5"/>
      <c r="J29" s="5"/>
      <c r="K29" s="5"/>
    </row>
    <row r="30">
      <c r="A30" s="2" t="s">
        <v>233</v>
      </c>
      <c r="B30" s="3" t="s">
        <v>234</v>
      </c>
      <c r="C30" s="3" t="s">
        <v>132</v>
      </c>
      <c r="D30" s="3" t="s">
        <v>167</v>
      </c>
      <c r="E30" s="3">
        <v>36.0</v>
      </c>
      <c r="F30" s="3">
        <v>42.52</v>
      </c>
      <c r="G30" s="8">
        <v>45425.0</v>
      </c>
      <c r="H30" s="3">
        <v>170.08</v>
      </c>
      <c r="I30" s="5"/>
      <c r="J30" s="5"/>
      <c r="K30" s="5"/>
    </row>
    <row r="31">
      <c r="A31" s="2" t="s">
        <v>235</v>
      </c>
      <c r="B31" s="3" t="s">
        <v>236</v>
      </c>
      <c r="C31" s="3" t="s">
        <v>117</v>
      </c>
      <c r="D31" s="3" t="s">
        <v>237</v>
      </c>
      <c r="E31" s="3">
        <v>0.0</v>
      </c>
      <c r="F31" s="3">
        <v>230.0</v>
      </c>
      <c r="G31" s="8">
        <v>45777.0</v>
      </c>
      <c r="H31" s="3">
        <v>1980.0</v>
      </c>
      <c r="I31" s="3" t="s">
        <v>238</v>
      </c>
      <c r="J31" s="5"/>
      <c r="K31" s="5"/>
    </row>
    <row r="32">
      <c r="A32" s="2" t="s">
        <v>239</v>
      </c>
      <c r="B32" s="3" t="s">
        <v>173</v>
      </c>
      <c r="C32" s="3" t="s">
        <v>112</v>
      </c>
      <c r="D32" s="3" t="s">
        <v>167</v>
      </c>
      <c r="E32" s="3">
        <v>36.0</v>
      </c>
      <c r="F32" s="3">
        <v>60.0</v>
      </c>
      <c r="G32" s="8">
        <v>45908.0</v>
      </c>
      <c r="H32" s="3">
        <v>360.0</v>
      </c>
      <c r="I32" s="5"/>
      <c r="J32" s="5"/>
      <c r="K32" s="5"/>
    </row>
    <row r="33">
      <c r="A33" s="2" t="s">
        <v>240</v>
      </c>
      <c r="B33" s="3" t="s">
        <v>199</v>
      </c>
      <c r="C33" s="3" t="s">
        <v>112</v>
      </c>
      <c r="D33" s="3" t="s">
        <v>167</v>
      </c>
      <c r="E33" s="3">
        <v>36.0</v>
      </c>
      <c r="F33" s="3">
        <v>55.0</v>
      </c>
      <c r="G33" s="8">
        <v>46093.0</v>
      </c>
      <c r="H33" s="3">
        <v>360.0</v>
      </c>
      <c r="I33" s="5"/>
      <c r="J33" s="5"/>
      <c r="K33" s="5"/>
    </row>
    <row r="34">
      <c r="A34" s="2" t="s">
        <v>241</v>
      </c>
      <c r="B34" s="3" t="s">
        <v>242</v>
      </c>
      <c r="C34" s="3" t="s">
        <v>137</v>
      </c>
      <c r="D34" s="3" t="s">
        <v>167</v>
      </c>
      <c r="E34" s="3">
        <v>36.0</v>
      </c>
      <c r="F34" s="3">
        <v>70.9</v>
      </c>
      <c r="G34" s="8">
        <v>45835.0</v>
      </c>
      <c r="H34" s="3">
        <v>283.6</v>
      </c>
      <c r="I34" s="5"/>
      <c r="J34" s="5"/>
      <c r="K34" s="5"/>
    </row>
    <row r="35">
      <c r="A35" s="2" t="s">
        <v>243</v>
      </c>
      <c r="B35" s="3" t="s">
        <v>179</v>
      </c>
      <c r="C35" s="3" t="s">
        <v>123</v>
      </c>
      <c r="D35" s="3" t="s">
        <v>167</v>
      </c>
      <c r="E35" s="3">
        <v>36.0</v>
      </c>
      <c r="F35" s="3">
        <v>189.17</v>
      </c>
      <c r="G35" s="8">
        <v>46006.0</v>
      </c>
      <c r="H35" s="3">
        <v>1241.25</v>
      </c>
      <c r="I35" s="5"/>
      <c r="J35" s="5"/>
      <c r="K35" s="5"/>
    </row>
    <row r="36">
      <c r="A36" s="2" t="s">
        <v>244</v>
      </c>
      <c r="B36" s="3" t="s">
        <v>245</v>
      </c>
      <c r="C36" s="3" t="s">
        <v>123</v>
      </c>
      <c r="D36" s="3" t="s">
        <v>167</v>
      </c>
      <c r="E36" s="3">
        <v>36.0</v>
      </c>
      <c r="F36" s="3">
        <v>59.08</v>
      </c>
      <c r="G36" s="8">
        <v>46006.0</v>
      </c>
      <c r="H36" s="5"/>
      <c r="I36" s="5"/>
      <c r="J36" s="5"/>
      <c r="K36" s="5"/>
    </row>
    <row r="37">
      <c r="A37" s="2" t="s">
        <v>246</v>
      </c>
      <c r="B37" s="3" t="s">
        <v>247</v>
      </c>
      <c r="C37" s="3" t="s">
        <v>49</v>
      </c>
      <c r="D37" s="3" t="s">
        <v>167</v>
      </c>
      <c r="E37" s="3">
        <v>36.0</v>
      </c>
      <c r="F37" s="3">
        <v>130.3</v>
      </c>
      <c r="G37" s="8">
        <v>45922.0</v>
      </c>
      <c r="H37" s="3">
        <v>651.5</v>
      </c>
      <c r="I37" s="5"/>
      <c r="J37" s="5"/>
      <c r="K37" s="5"/>
    </row>
    <row r="38">
      <c r="A38" s="2" t="s">
        <v>248</v>
      </c>
      <c r="B38" s="3" t="s">
        <v>249</v>
      </c>
      <c r="C38" s="3" t="s">
        <v>44</v>
      </c>
      <c r="D38" s="3" t="s">
        <v>167</v>
      </c>
      <c r="E38" s="3">
        <v>36.0</v>
      </c>
      <c r="F38" s="3">
        <v>78.0</v>
      </c>
      <c r="G38" s="8">
        <v>45754.0</v>
      </c>
      <c r="H38" s="3">
        <v>390.0</v>
      </c>
      <c r="I38" s="5"/>
      <c r="J38" s="5"/>
      <c r="K38" s="5"/>
    </row>
    <row r="39">
      <c r="A39" s="2" t="s">
        <v>250</v>
      </c>
      <c r="B39" s="3" t="s">
        <v>251</v>
      </c>
      <c r="C39" s="3" t="s">
        <v>76</v>
      </c>
      <c r="D39" s="3" t="s">
        <v>167</v>
      </c>
      <c r="E39" s="3">
        <v>36.0</v>
      </c>
      <c r="F39" s="3">
        <v>54.0</v>
      </c>
      <c r="G39" s="8">
        <v>45915.0</v>
      </c>
      <c r="H39" s="3">
        <v>360.0</v>
      </c>
      <c r="I39" s="5"/>
      <c r="J39" s="5"/>
      <c r="K39" s="5"/>
    </row>
    <row r="40">
      <c r="A40" s="2" t="s">
        <v>252</v>
      </c>
      <c r="B40" s="3" t="s">
        <v>253</v>
      </c>
      <c r="C40" s="3" t="s">
        <v>29</v>
      </c>
      <c r="D40" s="3" t="s">
        <v>167</v>
      </c>
      <c r="E40" s="3">
        <v>36.0</v>
      </c>
      <c r="F40" s="3">
        <v>153.69</v>
      </c>
      <c r="G40" s="8">
        <v>45462.0</v>
      </c>
      <c r="H40" s="5"/>
      <c r="I40" s="3" t="s">
        <v>254</v>
      </c>
      <c r="J40" s="5"/>
      <c r="K40" s="5"/>
    </row>
    <row r="41">
      <c r="A41" s="2" t="s">
        <v>255</v>
      </c>
      <c r="B41" s="3" t="s">
        <v>256</v>
      </c>
      <c r="C41" s="3" t="s">
        <v>29</v>
      </c>
      <c r="D41" s="3" t="s">
        <v>167</v>
      </c>
      <c r="E41" s="3">
        <v>36.0</v>
      </c>
      <c r="F41" s="3">
        <v>89.83</v>
      </c>
      <c r="G41" s="8">
        <v>45462.0</v>
      </c>
      <c r="H41" s="5"/>
      <c r="I41" s="5"/>
      <c r="J41" s="5"/>
      <c r="K41" s="5"/>
    </row>
    <row r="42">
      <c r="A42" s="2" t="s">
        <v>257</v>
      </c>
      <c r="B42" s="3" t="s">
        <v>258</v>
      </c>
      <c r="C42" s="3" t="s">
        <v>29</v>
      </c>
      <c r="D42" s="3" t="s">
        <v>167</v>
      </c>
      <c r="E42" s="3">
        <v>36.0</v>
      </c>
      <c r="F42" s="3">
        <v>35.42</v>
      </c>
      <c r="G42" s="8">
        <v>45462.0</v>
      </c>
      <c r="H42" s="5"/>
      <c r="I42" s="5"/>
      <c r="J42" s="5"/>
      <c r="K42" s="5"/>
    </row>
    <row r="43">
      <c r="A43" s="2" t="s">
        <v>259</v>
      </c>
      <c r="B43" s="3" t="s">
        <v>260</v>
      </c>
      <c r="C43" s="3" t="s">
        <v>29</v>
      </c>
      <c r="D43" s="3" t="s">
        <v>167</v>
      </c>
      <c r="E43" s="3">
        <v>36.0</v>
      </c>
      <c r="F43" s="3">
        <v>59.1</v>
      </c>
      <c r="G43" s="8">
        <v>45462.0</v>
      </c>
      <c r="H43" s="3">
        <v>2028.24</v>
      </c>
      <c r="I43" s="3" t="s">
        <v>261</v>
      </c>
      <c r="J43" s="5"/>
      <c r="K43" s="5"/>
    </row>
    <row r="44">
      <c r="A44" s="2" t="s">
        <v>262</v>
      </c>
      <c r="B44" s="3" t="s">
        <v>263</v>
      </c>
      <c r="C44" s="3" t="s">
        <v>34</v>
      </c>
      <c r="D44" s="3" t="s">
        <v>167</v>
      </c>
      <c r="E44" s="3">
        <v>36.0</v>
      </c>
      <c r="F44" s="3">
        <v>236.48</v>
      </c>
      <c r="G44" s="8">
        <v>45924.0</v>
      </c>
      <c r="H44" s="3">
        <v>1182.4</v>
      </c>
      <c r="I44" s="5"/>
      <c r="J44" s="5"/>
      <c r="K44" s="5"/>
    </row>
    <row r="45">
      <c r="A45" s="2" t="s">
        <v>264</v>
      </c>
      <c r="B45" s="3" t="s">
        <v>265</v>
      </c>
      <c r="C45" s="3" t="s">
        <v>55</v>
      </c>
      <c r="D45" s="3" t="s">
        <v>167</v>
      </c>
      <c r="E45" s="3">
        <v>36.0</v>
      </c>
      <c r="F45" s="3">
        <v>48.9</v>
      </c>
      <c r="G45" s="8">
        <v>46076.0</v>
      </c>
      <c r="H45" s="3">
        <v>623.5</v>
      </c>
      <c r="I45" s="5"/>
      <c r="J45" s="5"/>
      <c r="K45" s="5"/>
    </row>
    <row r="46">
      <c r="A46" s="2" t="s">
        <v>266</v>
      </c>
      <c r="B46" s="3" t="s">
        <v>267</v>
      </c>
      <c r="C46" s="3" t="s">
        <v>143</v>
      </c>
      <c r="D46" s="3" t="s">
        <v>171</v>
      </c>
      <c r="E46" s="3">
        <v>12.0</v>
      </c>
      <c r="F46" s="3">
        <v>414.5</v>
      </c>
      <c r="G46" s="8">
        <v>45365.0</v>
      </c>
      <c r="H46" s="5"/>
      <c r="I46" s="5"/>
      <c r="J46" s="5"/>
      <c r="K46" s="5"/>
    </row>
    <row r="47">
      <c r="A47" s="7" t="s">
        <v>268</v>
      </c>
      <c r="B47" s="7" t="s">
        <v>269</v>
      </c>
      <c r="C47" s="7" t="s">
        <v>150</v>
      </c>
      <c r="D47" s="7" t="s">
        <v>270</v>
      </c>
      <c r="E47" s="7">
        <v>36.0</v>
      </c>
      <c r="F47" s="7">
        <v>61.2</v>
      </c>
      <c r="G47" s="9">
        <v>46140.0</v>
      </c>
    </row>
    <row r="48">
      <c r="A48" s="7" t="s">
        <v>271</v>
      </c>
      <c r="B48" s="7" t="s">
        <v>272</v>
      </c>
      <c r="C48" s="7" t="s">
        <v>86</v>
      </c>
      <c r="D48" s="7" t="s">
        <v>167</v>
      </c>
      <c r="E48" s="7">
        <v>12.0</v>
      </c>
      <c r="F48" s="7">
        <v>360.0</v>
      </c>
      <c r="G48" s="9">
        <v>46118.0</v>
      </c>
      <c r="I48" s="7" t="s">
        <v>273</v>
      </c>
    </row>
  </sheetData>
  <drawing r:id="rId1"/>
</worksheet>
</file>